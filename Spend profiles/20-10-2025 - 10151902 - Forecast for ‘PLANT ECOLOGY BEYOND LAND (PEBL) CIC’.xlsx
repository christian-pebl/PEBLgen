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 ECOLOGY BEYOND LAND (PEBL" state="visible" r:id="rId4"/>
  </sheets>
  <calcPr calcId="171027"/>
</workbook>
</file>

<file path=xl/sharedStrings.xml><?xml version="1.0" encoding="utf-8"?>
<sst xmlns="http://schemas.openxmlformats.org/spreadsheetml/2006/main" count="18" uniqueCount="17">
  <si>
    <t>Cost categories</t>
  </si>
  <si>
    <t>Costs claimed</t>
  </si>
  <si>
    <t>Costs you are claiming</t>
  </si>
  <si>
    <t>Forecast</t>
  </si>
  <si>
    <t>Total</t>
  </si>
  <si>
    <t>Total eligible costs</t>
  </si>
  <si>
    <t>Difference</t>
  </si>
  <si>
    <t>Period</t>
  </si>
  <si>
    <t>IAR Due</t>
  </si>
  <si>
    <t>Month</t>
  </si>
  <si>
    <t>Labour</t>
  </si>
  <si>
    <t>Overheads</t>
  </si>
  <si>
    <t>Materials</t>
  </si>
  <si>
    <t>Capital usage</t>
  </si>
  <si>
    <t>Subcontracting</t>
  </si>
  <si>
    <t>Travel and subsistence</t>
  </si>
  <si>
    <t>Other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</si>
</sst>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Yes&quot;;;&quot;No&quot;;"/>
    <numFmt numFmtId="165" formatCode="[$-en-GB]mmm yyyy;@"/>
    <numFmt numFmtId="166" formatCode="£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ck"/>
      <bottom/>
      <diagonal/>
    </border>
    <border>
      <left/>
      <right style="thin"/>
      <top style="thick"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166" fontId="0" fillId="0" borderId="3" xfId="0" applyNumberFormat="1" applyBorder="1"/>
    <xf numFmtId="166" fontId="0" fillId="0" borderId="2" xfId="0" applyNumberFormat="1" applyBorder="1"/>
    <xf numFmtId="10" fontId="0" fillId="0" borderId="2" xfId="0" applyNumberFormat="1" applyBorder="1"/>
    <xf numFmtId="166" fontId="0" fillId="0" borderId="1" xfId="0" applyNumberFormat="1" applyBorder="1"/>
    <xf numFmtId="166" fontId="0" fillId="0" borderId="0" xfId="0" applyNumberFormat="1"/>
    <xf numFmtId="10" fontId="0" fillId="0" borderId="0" xfId="0" applyNumberFormat="1"/>
    <xf numFmtId="0" fontId="1" fillId="0" borderId="4" xfId="0" applyFont="1" applyBorder="1"/>
    <xf numFmtId="166" fontId="0" fillId="0" borderId="5" xfId="0" applyNumberFormat="1" applyBorder="1"/>
    <xf numFmtId="166" fontId="0" fillId="0" borderId="4" xfId="0" applyNumberFormat="1" applyBorder="1"/>
    <xf numFmtId="10" fontId="0" fillId="0" borderId="4" xfId="0" applyNumberFormat="1" applyBorder="1"/>
  </cellXfs>
  <cellStyles count="1">
    <cellStyle name="Normal" xfId="0" builtinId="0"/>
  </cellStyles>
  <dxfs count="7">
    <dxf>
      <fill>
        <patternFill patternType="solid">
          <bgColor rgb="00f8f8f8"/>
        </patternFill>
      </fill>
    </dxf>
    <dxf>
      <fill>
        <patternFill patternType="solid">
          <bgColor rgb="00f8f8f8"/>
        </patternFill>
      </fill>
    </dxf>
    <dxf>
      <fill>
        <patternFill patternType="solid">
          <bgColor rgb="00f8f8f8"/>
        </patternFill>
      </fill>
    </dxf>
    <dxf>
      <fill>
        <patternFill patternType="solid">
          <bgColor rgb="00f8f8f8"/>
        </patternFill>
      </fill>
    </dxf>
    <dxf>
      <fill>
        <patternFill patternType="solid">
          <bgColor rgb="00f8f8f8"/>
        </patternFill>
      </fill>
    </dxf>
    <dxf>
      <fill>
        <patternFill patternType="solid">
          <bgColor rgb="00f8f8f8"/>
        </patternFill>
      </fill>
    </dxf>
    <dxf>
      <fill>
        <patternFill patternType="solid">
          <bgColor rgb="00f8f8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 showGridLines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5" width="11.428571428571427" customWidth="1"/>
    <col min="6" max="8" width="14.28571428571428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/>
      <c r="F1" s="3" t="s">
        <v>4</v>
      </c>
      <c r="G1" s="3" t="s">
        <v>5</v>
      </c>
      <c r="H1" s="3" t="s">
        <v>6</v>
      </c>
    </row>
    <row r="2" spans="1:8" x14ac:dyDescent="0.25">
      <c r="A2" s="1" t="s">
        <v>7</v>
      </c>
      <c r="B2" s="4">
        <v>1</v>
      </c>
      <c r="C2" s="4">
        <v>2</v>
      </c>
      <c r="D2">
        <v>3</v>
      </c>
      <c r="E2" s="4">
        <v>4</v>
      </c>
      <c r="F2" s="3"/>
      <c r="G2" s="3"/>
      <c r="H2" s="3"/>
    </row>
    <row r="3" spans="1:8" x14ac:dyDescent="0.25">
      <c r="A3" s="1" t="s">
        <v>8</v>
      </c>
      <c r="B3" s="5">
        <v>0</v>
      </c>
      <c r="C3" s="5">
        <v>0</v>
      </c>
      <c r="D3" s="6">
        <v>0</v>
      </c>
      <c r="E3" s="5">
        <v>1</v>
      </c>
      <c r="F3" s="3"/>
      <c r="G3" s="3"/>
      <c r="H3" s="3"/>
    </row>
    <row r="4" spans="1:8" x14ac:dyDescent="0.25">
      <c r="A4" s="1" t="s">
        <v>9</v>
      </c>
      <c r="B4" s="7">
        <v>45748</v>
      </c>
      <c r="C4" s="7">
        <v>45839</v>
      </c>
      <c r="D4" s="8">
        <v>45931</v>
      </c>
      <c r="E4" s="7">
        <v>46023</v>
      </c>
      <c r="F4" s="3"/>
      <c r="G4" s="3"/>
      <c r="H4" s="3"/>
    </row>
    <row r="5" spans="1:8" x14ac:dyDescent="0.25">
      <c r="A5" s="9" t="s">
        <v>10</v>
      </c>
      <c r="B5" s="10">
        <v>9653</v>
      </c>
      <c r="C5" s="10">
        <v>0</v>
      </c>
      <c r="D5" s="11">
        <v>9986.33</v>
      </c>
      <c r="E5" s="10">
        <v>9986</v>
      </c>
      <c r="F5" s="11">
        <f>SUM($B$5:$E$5)</f>
        <v>29625.33</v>
      </c>
      <c r="G5" s="11">
        <v>39612</v>
      </c>
      <c r="H5" s="12">
        <f>IFERROR(($F$5-$G$5)/$G$5,0)</f>
        <v>-25.211223871554072</v>
      </c>
    </row>
    <row r="6" spans="1:8" x14ac:dyDescent="0.25">
      <c r="A6" t="s">
        <v>11</v>
      </c>
      <c r="B6" s="13">
        <v>1930.6</v>
      </c>
      <c r="C6" s="13">
        <v>0</v>
      </c>
      <c r="D6" s="14">
        <v>1997.165</v>
      </c>
      <c r="E6" s="13">
        <v>1997.099</v>
      </c>
      <c r="F6" s="14">
        <f>SUM($B$6:$E$6)</f>
        <v>5924.87</v>
      </c>
      <c r="G6" s="14">
        <v>7922</v>
      </c>
      <c r="H6" s="15">
        <f>IFERROR(($F$6-$G$6)/$G$6,0)</f>
        <v>-25.20992173693512</v>
      </c>
    </row>
    <row r="7" spans="1:8" x14ac:dyDescent="0.25">
      <c r="A7" t="s">
        <v>12</v>
      </c>
      <c r="B7" s="13">
        <v>5298.48</v>
      </c>
      <c r="C7" s="13">
        <v>0</v>
      </c>
      <c r="D7" s="14">
        <v>917.17</v>
      </c>
      <c r="E7" s="13">
        <v>917.18</v>
      </c>
      <c r="F7" s="14">
        <f>SUM($B$7:$E$7)</f>
        <v>7132.83</v>
      </c>
      <c r="G7" s="14">
        <v>8050</v>
      </c>
      <c r="H7" s="15">
        <f>IFERROR(($F$7-$G$7)/$G$7,0)</f>
        <v>-11.393416149068324</v>
      </c>
    </row>
    <row r="8" spans="1:8" x14ac:dyDescent="0.25">
      <c r="A8" t="s">
        <v>13</v>
      </c>
      <c r="B8" s="13">
        <v>0</v>
      </c>
      <c r="C8" s="13">
        <v>0</v>
      </c>
      <c r="D8" s="14">
        <v>0</v>
      </c>
      <c r="E8" s="13">
        <v>0</v>
      </c>
      <c r="F8" s="14">
        <f>SUM($B$8:$E$8)</f>
        <v>0</v>
      </c>
      <c r="G8" s="14">
        <v>0</v>
      </c>
      <c r="H8" s="15">
        <f>IFERROR(($F$8-$G$8)/$G$8,0)</f>
        <v>0</v>
      </c>
    </row>
    <row r="9" spans="1:8" x14ac:dyDescent="0.25">
      <c r="A9" t="s">
        <v>14</v>
      </c>
      <c r="B9" s="13">
        <v>180</v>
      </c>
      <c r="C9" s="13">
        <v>0</v>
      </c>
      <c r="D9" s="14">
        <v>10073.33</v>
      </c>
      <c r="E9" s="13">
        <v>10073.34</v>
      </c>
      <c r="F9" s="14">
        <f>SUM($B$9:$E$9)</f>
        <v>20326.67</v>
      </c>
      <c r="G9" s="14">
        <v>30400</v>
      </c>
      <c r="H9" s="15">
        <f>IFERROR(($F$9-$G$9)/$G$9,0)</f>
        <v>-33.13595394736843</v>
      </c>
    </row>
    <row r="10" spans="1:8" x14ac:dyDescent="0.25">
      <c r="A10" t="s">
        <v>15</v>
      </c>
      <c r="B10" s="13">
        <v>683.89</v>
      </c>
      <c r="C10" s="13">
        <v>0</v>
      </c>
      <c r="D10" s="14">
        <v>772.04</v>
      </c>
      <c r="E10" s="13">
        <v>772.03</v>
      </c>
      <c r="F10" s="14">
        <f>SUM($B$10:$E$10)</f>
        <v>2227.96</v>
      </c>
      <c r="G10" s="14">
        <v>3000</v>
      </c>
      <c r="H10" s="15">
        <f>IFERROR(($F$10-$G$10)/$G$10,0)</f>
        <v>-25.734666666666666</v>
      </c>
    </row>
    <row r="11" spans="1:8" x14ac:dyDescent="0.25">
      <c r="A11" t="s">
        <v>16</v>
      </c>
      <c r="B11" s="13">
        <v>343.66</v>
      </c>
      <c r="C11" s="13">
        <v>0</v>
      </c>
      <c r="D11" s="14">
        <v>764.45</v>
      </c>
      <c r="E11" s="13">
        <v>764.44</v>
      </c>
      <c r="F11" s="14">
        <f>SUM($B$11:$E$11)</f>
        <v>1872.55</v>
      </c>
      <c r="G11" s="14">
        <v>2637</v>
      </c>
      <c r="H11" s="15">
        <f>IFERROR(($F$11-$G$11)/$G$11,0)</f>
        <v>-28.989381873340918</v>
      </c>
    </row>
    <row r="12" spans="1:8" x14ac:dyDescent="0.25">
      <c r="A12" s="16" t="s">
        <v>4</v>
      </c>
      <c r="B12" s="17">
        <f>SUM($B$5:$B$11)</f>
        <v>18089.63</v>
      </c>
      <c r="C12" s="17">
        <f>SUM($C$5:$C$11)</f>
        <v>0</v>
      </c>
      <c r="D12" s="18">
        <f>SUM($D$5:$D$11)</f>
        <v>24510.49</v>
      </c>
      <c r="E12" s="17">
        <f>SUM($E$5:$E$11)</f>
        <v>24510.09</v>
      </c>
      <c r="F12" s="18">
        <f>SUM($B$12:$E$12)</f>
        <v>67110.21</v>
      </c>
      <c r="G12" s="18">
        <v>91621</v>
      </c>
      <c r="H12" s="19">
        <f>IFERROR(($F$12-$G$12)/$G$12,0)</f>
        <v>-26.752371181279393</v>
      </c>
    </row>
  </sheetData>
  <mergeCells count="4">
    <mergeCell ref="D1:E1"/>
    <mergeCell ref="F1:F4"/>
    <mergeCell ref="G1:G4"/>
    <mergeCell ref="H1:H4"/>
  </mergeCells>
  <conditionalFormatting sqref="$A$5:$H$5">
    <cfRule type="expression" dxfId="0" priority="1">
      <formula>$F$5&gt;$G$5</formula>
    </cfRule>
  </conditionalFormatting>
  <conditionalFormatting sqref="$A$6:$H$6">
    <cfRule type="expression" dxfId="1" priority="1">
      <formula>$F$6&gt;$G$6</formula>
    </cfRule>
  </conditionalFormatting>
  <conditionalFormatting sqref="$A$7:$H$7">
    <cfRule type="expression" dxfId="2" priority="1">
      <formula>$F$7&gt;$G$7</formula>
    </cfRule>
  </conditionalFormatting>
  <conditionalFormatting sqref="$A$8:$H$8">
    <cfRule type="expression" dxfId="3" priority="1">
      <formula>$F$8&gt;$G$8</formula>
    </cfRule>
  </conditionalFormatting>
  <conditionalFormatting sqref="$A$9:$H$9">
    <cfRule type="expression" dxfId="4" priority="1">
      <formula>$F$9&gt;$G$9</formula>
    </cfRule>
  </conditionalFormatting>
  <conditionalFormatting sqref="$A$10:$H$10">
    <cfRule type="expression" dxfId="5" priority="1">
      <formula>$F$10&gt;$G$10</formula>
    </cfRule>
  </conditionalFormatting>
  <conditionalFormatting sqref="$A$11:$H$11">
    <cfRule type="expression" dxfId="6" priority="1">
      <formula>$F$11&gt;$G$11</formula>
    </cfRule>
  </conditionalFormatting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 ECOLOGY BEYOND LAND (PEBL</vt:lpstr>
    </vt:vector>
  </TitlesOfParts>
  <Company>Innovate UK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Innovation Funding Service</dc:creator>
  <dc:title/>
  <dc:subject/>
  <dc:description/>
  <cp:keywords/>
  <cp:category/>
  <cp:lastModifiedBy>Unknown</cp:lastModifiedBy>
  <dcterms:created xsi:type="dcterms:W3CDTF">2025-10-20T13:46:37Z</dcterms:created>
  <dcterms:modified xsi:type="dcterms:W3CDTF">2025-10-20T13:46:37Z</dcterms:modified>
</cp:coreProperties>
</file>